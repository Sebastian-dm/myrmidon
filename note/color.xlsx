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me\git\myrmidon\note\"/>
    </mc:Choice>
  </mc:AlternateContent>
  <xr:revisionPtr revIDLastSave="0" documentId="13_ncr:1_{E44F7E48-72E8-464C-89F4-7CFFAD0BD743}" xr6:coauthVersionLast="47" xr6:coauthVersionMax="47" xr10:uidLastSave="{00000000-0000-0000-0000-000000000000}"/>
  <bookViews>
    <workbookView xWindow="19095" yWindow="0" windowWidth="19410" windowHeight="20985" xr2:uid="{4E1ADB55-CAD3-4A88-8BA6-1F73A7835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9" i="1"/>
  <c r="F9" i="1"/>
  <c r="G9" i="1"/>
  <c r="L9" i="1" s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8" i="1"/>
  <c r="F18" i="1"/>
  <c r="G18" i="1"/>
  <c r="E19" i="1"/>
  <c r="F19" i="1"/>
  <c r="G19" i="1"/>
  <c r="E20" i="1"/>
  <c r="F20" i="1"/>
  <c r="G20" i="1"/>
  <c r="E21" i="1"/>
  <c r="F21" i="1"/>
  <c r="G21" i="1"/>
  <c r="G2" i="1"/>
  <c r="F2" i="1"/>
  <c r="E2" i="1"/>
  <c r="L12" i="1" l="1"/>
  <c r="L7" i="1"/>
  <c r="L6" i="1"/>
  <c r="L20" i="1"/>
  <c r="K20" i="1" s="1"/>
  <c r="I7" i="1"/>
  <c r="J7" i="1"/>
  <c r="L18" i="1"/>
  <c r="K18" i="1" s="1"/>
  <c r="J6" i="1"/>
  <c r="L16" i="1"/>
  <c r="I16" i="1" s="1"/>
  <c r="L14" i="1"/>
  <c r="I14" i="1" s="1"/>
  <c r="L13" i="1"/>
  <c r="J13" i="1" s="1"/>
  <c r="J12" i="1"/>
  <c r="L4" i="1"/>
  <c r="J4" i="1" s="1"/>
  <c r="K6" i="1"/>
  <c r="L3" i="1"/>
  <c r="I3" i="1" s="1"/>
  <c r="L21" i="1"/>
  <c r="K21" i="1" s="1"/>
  <c r="K7" i="1"/>
  <c r="J18" i="1"/>
  <c r="I6" i="1"/>
  <c r="L5" i="1"/>
  <c r="I5" i="1" s="1"/>
  <c r="L2" i="1"/>
  <c r="J2" i="1" s="1"/>
  <c r="I9" i="1"/>
  <c r="J9" i="1"/>
  <c r="L11" i="1"/>
  <c r="J11" i="1" s="1"/>
  <c r="I20" i="1"/>
  <c r="L10" i="1"/>
  <c r="J10" i="1" s="1"/>
  <c r="I12" i="1"/>
  <c r="L19" i="1"/>
  <c r="I19" i="1" s="1"/>
  <c r="L15" i="1"/>
  <c r="I15" i="1" s="1"/>
  <c r="I2" i="1" l="1"/>
  <c r="I18" i="1"/>
  <c r="I13" i="1"/>
  <c r="J5" i="1"/>
  <c r="J21" i="1"/>
  <c r="I21" i="1"/>
  <c r="K5" i="1"/>
  <c r="J16" i="1"/>
  <c r="J14" i="1"/>
  <c r="J20" i="1"/>
  <c r="J3" i="1"/>
  <c r="I4" i="1"/>
  <c r="K4" i="1"/>
  <c r="J15" i="1"/>
  <c r="K19" i="1"/>
  <c r="I11" i="1"/>
  <c r="I10" i="1"/>
  <c r="J19" i="1"/>
</calcChain>
</file>

<file path=xl/sharedStrings.xml><?xml version="1.0" encoding="utf-8"?>
<sst xmlns="http://schemas.openxmlformats.org/spreadsheetml/2006/main" count="82" uniqueCount="58">
  <si>
    <t>Code</t>
  </si>
  <si>
    <t>Name</t>
  </si>
  <si>
    <t>Hex</t>
  </si>
  <si>
    <t>r</t>
  </si>
  <si>
    <t>dark red / crimson</t>
  </si>
  <si>
    <t>#a64a2e</t>
  </si>
  <si>
    <t xml:space="preserve">█ </t>
  </si>
  <si>
    <t>R</t>
  </si>
  <si>
    <t>red / scarlet</t>
  </si>
  <si>
    <t>#d74200</t>
  </si>
  <si>
    <t>o</t>
  </si>
  <si>
    <t>dark orange</t>
  </si>
  <si>
    <t>#f15f22</t>
  </si>
  <si>
    <t>O</t>
  </si>
  <si>
    <t>orange</t>
  </si>
  <si>
    <t>#e99f10</t>
  </si>
  <si>
    <t>w</t>
  </si>
  <si>
    <t>brown</t>
  </si>
  <si>
    <t>#98875f</t>
  </si>
  <si>
    <t>W</t>
  </si>
  <si>
    <t>gold / yellow</t>
  </si>
  <si>
    <t>#cfc041</t>
  </si>
  <si>
    <t>g</t>
  </si>
  <si>
    <t>dark green</t>
  </si>
  <si>
    <t>#009403</t>
  </si>
  <si>
    <t>G</t>
  </si>
  <si>
    <t>green</t>
  </si>
  <si>
    <t>#00c420</t>
  </si>
  <si>
    <t>b</t>
  </si>
  <si>
    <t>dark blue</t>
  </si>
  <si>
    <t>#0048bd</t>
  </si>
  <si>
    <t>B</t>
  </si>
  <si>
    <t>blue / azure</t>
  </si>
  <si>
    <t>#0096ff</t>
  </si>
  <si>
    <t>c</t>
  </si>
  <si>
    <t>dark cyan / teal</t>
  </si>
  <si>
    <t>#40a4b9</t>
  </si>
  <si>
    <t>C</t>
  </si>
  <si>
    <t>cyan</t>
  </si>
  <si>
    <t>#77bfcf</t>
  </si>
  <si>
    <t>m</t>
  </si>
  <si>
    <t>dark magenta / purple</t>
  </si>
  <si>
    <t>#b154cf</t>
  </si>
  <si>
    <t>M</t>
  </si>
  <si>
    <t>magenta</t>
  </si>
  <si>
    <t>#da5bd6</t>
  </si>
  <si>
    <t>k</t>
  </si>
  <si>
    <t>#0f3b3a</t>
  </si>
  <si>
    <t>K</t>
  </si>
  <si>
    <t>dark grey / black</t>
  </si>
  <si>
    <t>#155352</t>
  </si>
  <si>
    <t>y</t>
  </si>
  <si>
    <t>grey</t>
  </si>
  <si>
    <t>#b1c9c3</t>
  </si>
  <si>
    <t>Y</t>
  </si>
  <si>
    <t>white</t>
  </si>
  <si>
    <t>#ffffff</t>
  </si>
  <si>
    <t>Magenta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</si>
</sst>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A64A2E"/>
      <name val="Aptos"/>
      <family val="2"/>
    </font>
    <font>
      <sz val="11"/>
      <color rgb="FFD74200"/>
      <name val="Aptos"/>
      <family val="2"/>
    </font>
    <font>
      <sz val="11"/>
      <color rgb="FFF15F22"/>
      <name val="Aptos"/>
      <family val="2"/>
    </font>
    <font>
      <sz val="11"/>
      <color rgb="FFE99F10"/>
      <name val="Aptos"/>
      <family val="2"/>
    </font>
    <font>
      <sz val="11"/>
      <color rgb="FF98875F"/>
      <name val="Aptos"/>
      <family val="2"/>
    </font>
    <font>
      <sz val="11"/>
      <color rgb="FFCFC041"/>
      <name val="Aptos"/>
      <family val="2"/>
    </font>
    <font>
      <sz val="11"/>
      <color rgb="FF009403"/>
      <name val="Aptos"/>
      <family val="2"/>
    </font>
    <font>
      <sz val="11"/>
      <color rgb="FF00C420"/>
      <name val="Aptos"/>
      <family val="2"/>
    </font>
    <font>
      <sz val="11"/>
      <color rgb="FF0048BD"/>
      <name val="Aptos"/>
      <family val="2"/>
    </font>
    <font>
      <sz val="11"/>
      <color rgb="FF0096FF"/>
      <name val="Aptos"/>
      <family val="2"/>
    </font>
    <font>
      <sz val="11"/>
      <color rgb="FF40A4B9"/>
      <name val="Aptos"/>
      <family val="2"/>
    </font>
    <font>
      <sz val="11"/>
      <color rgb="FF77BFCF"/>
      <name val="Aptos"/>
      <family val="2"/>
    </font>
    <font>
      <sz val="11"/>
      <color rgb="FFB154CF"/>
      <name val="Aptos"/>
      <family val="2"/>
    </font>
    <font>
      <sz val="11"/>
      <color rgb="FFDA5BD6"/>
      <name val="Aptos"/>
      <family val="2"/>
    </font>
    <font>
      <sz val="11"/>
      <color rgb="FF0F3B3A"/>
      <name val="Aptos"/>
      <family val="2"/>
    </font>
    <font>
      <sz val="11"/>
      <color rgb="FF155352"/>
      <name val="Aptos"/>
      <family val="2"/>
    </font>
    <font>
      <sz val="11"/>
      <color rgb="FFB1C9C3"/>
      <name val="Aptos"/>
      <family val="2"/>
    </font>
    <font>
      <sz val="11"/>
      <color rgb="FFFFFFFF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8D68-F811-4DF9-9498-4CD29637B929}">
  <dimension ref="A1:L24"/>
  <sheetViews>
    <sheetView tabSelected="1" workbookViewId="0">
      <selection activeCell="F31" sqref="F31"/>
    </sheetView>
  </sheetViews>
  <sheetFormatPr defaultRowHeight="15" x14ac:dyDescent="0.25"/>
  <cols>
    <col min="2" max="2" width="26.5" customWidth="1"/>
    <col min="8" max="8" width="4.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/>
      <c r="E1" s="1" t="s">
        <v>7</v>
      </c>
      <c r="F1" s="1" t="s">
        <v>25</v>
      </c>
      <c r="G1" s="1" t="s">
        <v>31</v>
      </c>
      <c r="H1" s="1"/>
      <c r="I1" s="1" t="s">
        <v>37</v>
      </c>
      <c r="J1" s="1" t="s">
        <v>43</v>
      </c>
      <c r="K1" s="1" t="s">
        <v>54</v>
      </c>
      <c r="L1" s="1" t="s">
        <v>48</v>
      </c>
    </row>
    <row r="2" spans="1:12" x14ac:dyDescent="0.25">
      <c r="A2" s="2" t="s">
        <v>3</v>
      </c>
      <c r="B2" s="2" t="s">
        <v>4</v>
      </c>
      <c r="C2" s="2" t="s">
        <v>5</v>
      </c>
      <c r="D2" s="3" t="s">
        <v>6</v>
      </c>
      <c r="E2" s="22">
        <f>HEX2DEC(RIGHT(LEFT(C2,3),2))/255</f>
        <v>0.65098039215686276</v>
      </c>
      <c r="F2" s="22">
        <f>HEX2DEC(RIGHT(LEFT(C2,5),2))/255</f>
        <v>0.29019607843137257</v>
      </c>
      <c r="G2" s="22">
        <f>HEX2DEC(RIGHT(C2,2))/255</f>
        <v>0.1803921568627451</v>
      </c>
      <c r="H2" s="22"/>
      <c r="I2" s="22">
        <f>(1-E2-L2)/(1-L2)</f>
        <v>0</v>
      </c>
      <c r="J2" s="22">
        <f t="shared" ref="J2:J7" si="0">(1-F2-L2)/(1-L2)</f>
        <v>0.55421686746987942</v>
      </c>
      <c r="K2" s="22">
        <v>0.72</v>
      </c>
      <c r="L2" s="22">
        <f>1-MAX(E2:G2)</f>
        <v>0.34901960784313724</v>
      </c>
    </row>
    <row r="3" spans="1:12" x14ac:dyDescent="0.25">
      <c r="A3" s="21" t="s">
        <v>7</v>
      </c>
      <c r="B3" s="2" t="s">
        <v>8</v>
      </c>
      <c r="C3" s="2" t="s">
        <v>9</v>
      </c>
      <c r="D3" s="4" t="s">
        <v>6</v>
      </c>
      <c r="E3" s="22">
        <f t="shared" ref="E3:E21" si="1">HEX2DEC(RIGHT(LEFT(C3,3),2))/255</f>
        <v>0.84313725490196079</v>
      </c>
      <c r="F3" s="22">
        <f t="shared" ref="F3:F21" si="2">HEX2DEC(RIGHT(LEFT(C3,5),2))/255</f>
        <v>0.25882352941176473</v>
      </c>
      <c r="G3" s="22">
        <f t="shared" ref="G3:G21" si="3">HEX2DEC(RIGHT(C3,2))/255</f>
        <v>0</v>
      </c>
      <c r="H3" s="22"/>
      <c r="I3" s="22">
        <f>(1-E3-L3)/(1-L3)</f>
        <v>0</v>
      </c>
      <c r="J3" s="22">
        <f t="shared" si="0"/>
        <v>0.69302325581395352</v>
      </c>
      <c r="K3" s="22">
        <v>1</v>
      </c>
      <c r="L3" s="22">
        <f>1-MAX(E3:G3)</f>
        <v>0.15686274509803921</v>
      </c>
    </row>
    <row r="4" spans="1:12" x14ac:dyDescent="0.25">
      <c r="A4" s="2" t="s">
        <v>22</v>
      </c>
      <c r="B4" s="2" t="s">
        <v>23</v>
      </c>
      <c r="C4" s="2" t="s">
        <v>24</v>
      </c>
      <c r="D4" s="9" t="s">
        <v>6</v>
      </c>
      <c r="E4" s="22">
        <f t="shared" si="1"/>
        <v>0</v>
      </c>
      <c r="F4" s="22">
        <f t="shared" si="2"/>
        <v>0.58039215686274515</v>
      </c>
      <c r="G4" s="22">
        <f t="shared" si="3"/>
        <v>1.1764705882352941E-2</v>
      </c>
      <c r="H4" s="22"/>
      <c r="I4" s="22">
        <f>(1-E4-L4)/(1-L4)</f>
        <v>1</v>
      </c>
      <c r="J4" s="22">
        <f t="shared" si="0"/>
        <v>0</v>
      </c>
      <c r="K4" s="22">
        <f t="shared" ref="K4:K7" si="4">(1-G4-L4)/(1-L4)</f>
        <v>0.97972972972972983</v>
      </c>
      <c r="L4" s="22">
        <f>1-MAX(E4:G4)</f>
        <v>0.41960784313725485</v>
      </c>
    </row>
    <row r="5" spans="1:12" x14ac:dyDescent="0.25">
      <c r="A5" s="21" t="s">
        <v>25</v>
      </c>
      <c r="B5" s="2" t="s">
        <v>26</v>
      </c>
      <c r="C5" s="2" t="s">
        <v>27</v>
      </c>
      <c r="D5" s="10" t="s">
        <v>6</v>
      </c>
      <c r="E5" s="22">
        <f t="shared" si="1"/>
        <v>0</v>
      </c>
      <c r="F5" s="22">
        <f t="shared" si="2"/>
        <v>0.7686274509803922</v>
      </c>
      <c r="G5" s="22">
        <f t="shared" si="3"/>
        <v>0.12549019607843137</v>
      </c>
      <c r="H5" s="22"/>
      <c r="I5" s="22">
        <f>(1-E5-L5)/(1-L5)</f>
        <v>1</v>
      </c>
      <c r="J5" s="22">
        <f t="shared" si="0"/>
        <v>0</v>
      </c>
      <c r="K5" s="22">
        <f t="shared" si="4"/>
        <v>0.83673469387755106</v>
      </c>
      <c r="L5" s="22">
        <f>1-MAX(E5:G5)</f>
        <v>0.2313725490196078</v>
      </c>
    </row>
    <row r="6" spans="1:12" x14ac:dyDescent="0.25">
      <c r="A6" s="2" t="s">
        <v>28</v>
      </c>
      <c r="B6" s="2" t="s">
        <v>29</v>
      </c>
      <c r="C6" s="2" t="s">
        <v>30</v>
      </c>
      <c r="D6" s="11" t="s">
        <v>6</v>
      </c>
      <c r="E6" s="22">
        <f t="shared" si="1"/>
        <v>0</v>
      </c>
      <c r="F6" s="22">
        <f t="shared" si="2"/>
        <v>0.28235294117647058</v>
      </c>
      <c r="G6" s="22">
        <f t="shared" si="3"/>
        <v>0.74117647058823533</v>
      </c>
      <c r="H6" s="22"/>
      <c r="I6" s="22">
        <f>(1-E6-L6)/(1-L6)</f>
        <v>1</v>
      </c>
      <c r="J6" s="22">
        <f t="shared" si="0"/>
        <v>0.61904761904761907</v>
      </c>
      <c r="K6" s="22">
        <f t="shared" si="4"/>
        <v>0</v>
      </c>
      <c r="L6" s="22">
        <f>1-MAX(E6:G6)</f>
        <v>0.25882352941176467</v>
      </c>
    </row>
    <row r="7" spans="1:12" x14ac:dyDescent="0.25">
      <c r="A7" s="21" t="s">
        <v>31</v>
      </c>
      <c r="B7" s="2" t="s">
        <v>32</v>
      </c>
      <c r="C7" s="2" t="s">
        <v>33</v>
      </c>
      <c r="D7" s="12" t="s">
        <v>6</v>
      </c>
      <c r="E7" s="22">
        <f t="shared" si="1"/>
        <v>0</v>
      </c>
      <c r="F7" s="22">
        <f t="shared" si="2"/>
        <v>0.58823529411764708</v>
      </c>
      <c r="G7" s="22">
        <f t="shared" si="3"/>
        <v>1</v>
      </c>
      <c r="H7" s="22"/>
      <c r="I7" s="22">
        <f>(1-E7-L7)/(1-L7)</f>
        <v>1</v>
      </c>
      <c r="J7" s="22">
        <f t="shared" si="0"/>
        <v>0.41176470588235292</v>
      </c>
      <c r="K7" s="22">
        <f t="shared" si="4"/>
        <v>0</v>
      </c>
      <c r="L7" s="22">
        <f>1-MAX(E7:G7)</f>
        <v>0</v>
      </c>
    </row>
    <row r="8" spans="1:12" x14ac:dyDescent="0.25">
      <c r="A8" s="2"/>
      <c r="B8" s="2"/>
      <c r="C8" s="2"/>
      <c r="D8" s="12"/>
      <c r="E8" s="22"/>
      <c r="F8" s="22"/>
      <c r="G8" s="22"/>
      <c r="H8" s="22"/>
      <c r="I8" s="22"/>
      <c r="J8" s="22"/>
      <c r="K8" s="22"/>
      <c r="L8" s="22"/>
    </row>
    <row r="9" spans="1:12" x14ac:dyDescent="0.25">
      <c r="A9" s="2" t="s">
        <v>34</v>
      </c>
      <c r="B9" s="2" t="s">
        <v>35</v>
      </c>
      <c r="C9" s="2" t="s">
        <v>36</v>
      </c>
      <c r="D9" s="13" t="s">
        <v>6</v>
      </c>
      <c r="E9" s="22">
        <f t="shared" si="1"/>
        <v>0.25098039215686274</v>
      </c>
      <c r="F9" s="22">
        <f t="shared" si="2"/>
        <v>0.64313725490196083</v>
      </c>
      <c r="G9" s="22">
        <f t="shared" si="3"/>
        <v>0.72549019607843135</v>
      </c>
      <c r="H9" s="22"/>
      <c r="I9" s="22">
        <f>(1-E9-L9)/(1-L9)</f>
        <v>0.65405405405405403</v>
      </c>
      <c r="J9" s="22">
        <f t="shared" ref="J9:J16" si="5">(1-F9-L9)/(1-L9)</f>
        <v>0.11351351351351342</v>
      </c>
      <c r="K9" s="22">
        <v>0</v>
      </c>
      <c r="L9" s="22">
        <f>1-MAX(E9:G9)</f>
        <v>0.27450980392156865</v>
      </c>
    </row>
    <row r="10" spans="1:12" x14ac:dyDescent="0.25">
      <c r="A10" s="21" t="s">
        <v>37</v>
      </c>
      <c r="B10" s="2" t="s">
        <v>38</v>
      </c>
      <c r="C10" s="2" t="s">
        <v>39</v>
      </c>
      <c r="D10" s="14" t="s">
        <v>6</v>
      </c>
      <c r="E10" s="22">
        <f t="shared" si="1"/>
        <v>0.46666666666666667</v>
      </c>
      <c r="F10" s="22">
        <f t="shared" si="2"/>
        <v>0.74901960784313726</v>
      </c>
      <c r="G10" s="22">
        <f t="shared" si="3"/>
        <v>0.81176470588235294</v>
      </c>
      <c r="H10" s="22"/>
      <c r="I10" s="22">
        <f>(1-E10-L10)/(1-L10)</f>
        <v>0.4251207729468599</v>
      </c>
      <c r="J10" s="22">
        <f t="shared" si="5"/>
        <v>7.7294685990338161E-2</v>
      </c>
      <c r="K10" s="22">
        <v>0</v>
      </c>
      <c r="L10" s="22">
        <f>1-MAX(E10:G10)</f>
        <v>0.18823529411764706</v>
      </c>
    </row>
    <row r="11" spans="1:12" x14ac:dyDescent="0.25">
      <c r="A11" s="2" t="s">
        <v>40</v>
      </c>
      <c r="B11" s="2" t="s">
        <v>41</v>
      </c>
      <c r="C11" s="2" t="s">
        <v>42</v>
      </c>
      <c r="D11" s="15" t="s">
        <v>6</v>
      </c>
      <c r="E11" s="22">
        <f t="shared" si="1"/>
        <v>0.69411764705882351</v>
      </c>
      <c r="F11" s="22">
        <f t="shared" si="2"/>
        <v>0.32941176470588235</v>
      </c>
      <c r="G11" s="22">
        <f t="shared" si="3"/>
        <v>0.81176470588235294</v>
      </c>
      <c r="H11" s="22"/>
      <c r="I11" s="22">
        <f>(1-E11-L11)/(1-L11)</f>
        <v>0.14492753623188409</v>
      </c>
      <c r="J11" s="22">
        <f t="shared" si="5"/>
        <v>0.59420289855072472</v>
      </c>
      <c r="K11" s="22">
        <v>0</v>
      </c>
      <c r="L11" s="22">
        <f>1-MAX(E11:G11)</f>
        <v>0.18823529411764706</v>
      </c>
    </row>
    <row r="12" spans="1:12" x14ac:dyDescent="0.25">
      <c r="A12" s="21" t="s">
        <v>43</v>
      </c>
      <c r="B12" s="2" t="s">
        <v>44</v>
      </c>
      <c r="C12" s="2" t="s">
        <v>45</v>
      </c>
      <c r="D12" s="16" t="s">
        <v>6</v>
      </c>
      <c r="E12" s="22">
        <f t="shared" si="1"/>
        <v>0.85490196078431369</v>
      </c>
      <c r="F12" s="22">
        <f t="shared" si="2"/>
        <v>0.35686274509803922</v>
      </c>
      <c r="G12" s="22">
        <f t="shared" si="3"/>
        <v>0.83921568627450982</v>
      </c>
      <c r="H12" s="22"/>
      <c r="I12" s="22">
        <f>(1-E12-L12)/(1-L12)</f>
        <v>0</v>
      </c>
      <c r="J12" s="22">
        <f t="shared" si="5"/>
        <v>0.58256880733944949</v>
      </c>
      <c r="K12" s="22">
        <v>0.02</v>
      </c>
      <c r="L12" s="22">
        <f>1-MAX(E12:G12)</f>
        <v>0.14509803921568631</v>
      </c>
    </row>
    <row r="13" spans="1:12" x14ac:dyDescent="0.25">
      <c r="A13" s="2" t="s">
        <v>51</v>
      </c>
      <c r="B13" s="2" t="s">
        <v>52</v>
      </c>
      <c r="C13" s="2" t="s">
        <v>53</v>
      </c>
      <c r="D13" s="19" t="s">
        <v>6</v>
      </c>
      <c r="E13" s="22">
        <f t="shared" si="1"/>
        <v>0.69411764705882351</v>
      </c>
      <c r="F13" s="22">
        <f t="shared" si="2"/>
        <v>0.78823529411764703</v>
      </c>
      <c r="G13" s="22">
        <f t="shared" si="3"/>
        <v>0.76470588235294112</v>
      </c>
      <c r="H13" s="22"/>
      <c r="I13" s="22">
        <f>(1-E13-L13)/(1-L13)</f>
        <v>0.11940298507462686</v>
      </c>
      <c r="J13" s="22">
        <f t="shared" si="5"/>
        <v>0</v>
      </c>
      <c r="K13" s="22">
        <v>0.03</v>
      </c>
      <c r="L13" s="22">
        <f>1-MAX(E13:G13)</f>
        <v>0.21176470588235297</v>
      </c>
    </row>
    <row r="14" spans="1:12" x14ac:dyDescent="0.25">
      <c r="A14" s="21" t="s">
        <v>54</v>
      </c>
      <c r="B14" s="2" t="s">
        <v>55</v>
      </c>
      <c r="C14" s="2" t="s">
        <v>56</v>
      </c>
      <c r="D14" s="20" t="s">
        <v>6</v>
      </c>
      <c r="E14" s="22">
        <f t="shared" si="1"/>
        <v>1</v>
      </c>
      <c r="F14" s="22">
        <f t="shared" si="2"/>
        <v>1</v>
      </c>
      <c r="G14" s="22">
        <f t="shared" si="3"/>
        <v>1</v>
      </c>
      <c r="H14" s="22"/>
      <c r="I14" s="22">
        <f>(1-E14-L14)/(1-L14)</f>
        <v>0</v>
      </c>
      <c r="J14" s="22">
        <f t="shared" si="5"/>
        <v>0</v>
      </c>
      <c r="K14" s="22">
        <v>0</v>
      </c>
      <c r="L14" s="22">
        <f>1-MAX(E14:G14)</f>
        <v>0</v>
      </c>
    </row>
    <row r="15" spans="1:12" x14ac:dyDescent="0.25">
      <c r="A15" s="2" t="s">
        <v>46</v>
      </c>
      <c r="B15" s="2"/>
      <c r="C15" s="2" t="s">
        <v>47</v>
      </c>
      <c r="D15" s="17" t="s">
        <v>6</v>
      </c>
      <c r="E15" s="22">
        <f t="shared" si="1"/>
        <v>5.8823529411764705E-2</v>
      </c>
      <c r="F15" s="22">
        <f t="shared" si="2"/>
        <v>0.23137254901960785</v>
      </c>
      <c r="G15" s="22">
        <f t="shared" si="3"/>
        <v>0.22745098039215686</v>
      </c>
      <c r="H15" s="22"/>
      <c r="I15" s="22">
        <f>(1-E15-L15)/(1-L15)</f>
        <v>0.74576271186440679</v>
      </c>
      <c r="J15" s="22">
        <f t="shared" si="5"/>
        <v>0</v>
      </c>
      <c r="K15" s="22">
        <v>0</v>
      </c>
      <c r="L15" s="22">
        <f>1-MAX(E15:G15)</f>
        <v>0.76862745098039209</v>
      </c>
    </row>
    <row r="16" spans="1:12" x14ac:dyDescent="0.25">
      <c r="A16" s="21" t="s">
        <v>48</v>
      </c>
      <c r="B16" s="2" t="s">
        <v>49</v>
      </c>
      <c r="C16" s="2" t="s">
        <v>50</v>
      </c>
      <c r="D16" s="18" t="s">
        <v>6</v>
      </c>
      <c r="E16" s="22">
        <f t="shared" si="1"/>
        <v>8.2352941176470587E-2</v>
      </c>
      <c r="F16" s="22">
        <f t="shared" si="2"/>
        <v>0.32549019607843138</v>
      </c>
      <c r="G16" s="22">
        <f t="shared" si="3"/>
        <v>0.32156862745098042</v>
      </c>
      <c r="H16" s="22"/>
      <c r="I16" s="22">
        <f>(1-E16-L16)/(1-L16)</f>
        <v>0.74698795180722877</v>
      </c>
      <c r="J16" s="22">
        <f t="shared" si="5"/>
        <v>0</v>
      </c>
      <c r="K16" s="22">
        <v>0.01</v>
      </c>
      <c r="L16" s="22">
        <f>1-MAX(E16:G16)</f>
        <v>0.67450980392156867</v>
      </c>
    </row>
    <row r="17" spans="1:12" x14ac:dyDescent="0.25">
      <c r="A17" s="2"/>
      <c r="B17" s="2"/>
      <c r="C17" s="2"/>
      <c r="D17" s="12"/>
      <c r="E17" s="22"/>
      <c r="F17" s="22"/>
      <c r="G17" s="22"/>
      <c r="H17" s="22"/>
      <c r="I17" s="22"/>
      <c r="J17" s="22"/>
      <c r="K17" s="22"/>
      <c r="L17" s="22"/>
    </row>
    <row r="18" spans="1:12" x14ac:dyDescent="0.25">
      <c r="A18" s="2" t="s">
        <v>10</v>
      </c>
      <c r="B18" s="2" t="s">
        <v>11</v>
      </c>
      <c r="C18" s="2" t="s">
        <v>12</v>
      </c>
      <c r="D18" s="5" t="s">
        <v>6</v>
      </c>
      <c r="E18" s="22">
        <f t="shared" si="1"/>
        <v>0.94509803921568625</v>
      </c>
      <c r="F18" s="22">
        <f t="shared" si="2"/>
        <v>0.37254901960784315</v>
      </c>
      <c r="G18" s="22">
        <f t="shared" si="3"/>
        <v>0.13333333333333333</v>
      </c>
      <c r="H18" s="22"/>
      <c r="I18" s="22">
        <f>(1-E18-L18)/(1-L18)</f>
        <v>0</v>
      </c>
      <c r="J18" s="22">
        <f>(1-F18-L18)/(1-L18)</f>
        <v>0.60580912863070535</v>
      </c>
      <c r="K18" s="22">
        <f>(1-G18-L18)/(1-L18)</f>
        <v>0.8589211618257262</v>
      </c>
      <c r="L18" s="22">
        <f>1-MAX(E18:G18)</f>
        <v>5.4901960784313752E-2</v>
      </c>
    </row>
    <row r="19" spans="1:12" x14ac:dyDescent="0.25">
      <c r="A19" s="2" t="s">
        <v>13</v>
      </c>
      <c r="B19" s="2" t="s">
        <v>14</v>
      </c>
      <c r="C19" s="2" t="s">
        <v>15</v>
      </c>
      <c r="D19" s="6" t="s">
        <v>6</v>
      </c>
      <c r="E19" s="22">
        <f t="shared" si="1"/>
        <v>0.9137254901960784</v>
      </c>
      <c r="F19" s="22">
        <f t="shared" si="2"/>
        <v>0.62352941176470589</v>
      </c>
      <c r="G19" s="22">
        <f t="shared" si="3"/>
        <v>6.2745098039215685E-2</v>
      </c>
      <c r="H19" s="22"/>
      <c r="I19" s="22">
        <f>(1-E19-L19)/(1-L19)</f>
        <v>0</v>
      </c>
      <c r="J19" s="22">
        <f t="shared" ref="J19:J21" si="6">(1-F19-L19)/(1-L19)</f>
        <v>0.31759656652360513</v>
      </c>
      <c r="K19" s="22">
        <f t="shared" ref="K19:K21" si="7">(1-G19-L19)/(1-L19)</f>
        <v>0.93133047210300424</v>
      </c>
      <c r="L19" s="22">
        <f>1-MAX(E19:G19)</f>
        <v>8.6274509803921595E-2</v>
      </c>
    </row>
    <row r="20" spans="1:12" x14ac:dyDescent="0.25">
      <c r="A20" s="2" t="s">
        <v>16</v>
      </c>
      <c r="B20" s="2" t="s">
        <v>17</v>
      </c>
      <c r="C20" s="2" t="s">
        <v>18</v>
      </c>
      <c r="D20" s="7" t="s">
        <v>6</v>
      </c>
      <c r="E20" s="22">
        <f t="shared" si="1"/>
        <v>0.59607843137254901</v>
      </c>
      <c r="F20" s="22">
        <f t="shared" si="2"/>
        <v>0.52941176470588236</v>
      </c>
      <c r="G20" s="22">
        <f t="shared" si="3"/>
        <v>0.37254901960784315</v>
      </c>
      <c r="H20" s="22"/>
      <c r="I20" s="22">
        <f>(1-E20-L20)/(1-L20)</f>
        <v>0</v>
      </c>
      <c r="J20" s="22">
        <f t="shared" si="6"/>
        <v>0.11184210526315787</v>
      </c>
      <c r="K20" s="22">
        <f t="shared" si="7"/>
        <v>0.375</v>
      </c>
      <c r="L20" s="22">
        <f>1-MAX(E20:G20)</f>
        <v>0.40392156862745099</v>
      </c>
    </row>
    <row r="21" spans="1:12" x14ac:dyDescent="0.25">
      <c r="A21" s="2" t="s">
        <v>19</v>
      </c>
      <c r="B21" s="2" t="s">
        <v>20</v>
      </c>
      <c r="C21" s="2" t="s">
        <v>21</v>
      </c>
      <c r="D21" s="8" t="s">
        <v>6</v>
      </c>
      <c r="E21" s="22">
        <f t="shared" si="1"/>
        <v>0.81176470588235294</v>
      </c>
      <c r="F21" s="22">
        <f t="shared" si="2"/>
        <v>0.75294117647058822</v>
      </c>
      <c r="G21" s="22">
        <f t="shared" si="3"/>
        <v>0.25490196078431371</v>
      </c>
      <c r="H21" s="22"/>
      <c r="I21" s="22">
        <f>(1-E21-L21)/(1-L21)</f>
        <v>0</v>
      </c>
      <c r="J21" s="22">
        <f t="shared" si="6"/>
        <v>7.2463768115942045E-2</v>
      </c>
      <c r="K21" s="22">
        <f t="shared" si="7"/>
        <v>0.68599033816425126</v>
      </c>
      <c r="L21" s="22">
        <f>1-MAX(E21:G21)</f>
        <v>0.18823529411764706</v>
      </c>
    </row>
    <row r="24" spans="1:12" ht="45" x14ac:dyDescent="0.25">
      <c r="C24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Artelia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Meier</dc:creator>
  <cp:lastModifiedBy>Sebastian Meier</cp:lastModifiedBy>
  <dcterms:created xsi:type="dcterms:W3CDTF">2026-08-27T10:48:09Z</dcterms:created>
  <dcterms:modified xsi:type="dcterms:W3CDTF">2026-08-27T11:16:23Z</dcterms:modified>
</cp:coreProperties>
</file>